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7" i="1" l="1"/>
  <c r="I9" i="1"/>
  <c r="I11" i="1"/>
  <c r="I13" i="1"/>
  <c r="I15" i="1"/>
  <c r="I17" i="1"/>
  <c r="H7" i="1"/>
  <c r="H9" i="1"/>
  <c r="H11" i="1"/>
  <c r="H13" i="1"/>
  <c r="H15" i="1"/>
  <c r="H17" i="1"/>
  <c r="I8" i="2"/>
  <c r="I10" i="2"/>
  <c r="I12" i="2"/>
  <c r="I14" i="2"/>
  <c r="I16" i="2"/>
  <c r="H10" i="2"/>
  <c r="H16" i="2"/>
  <c r="L8" i="2"/>
  <c r="L10" i="2"/>
  <c r="L12" i="2"/>
  <c r="L14" i="2"/>
  <c r="L16" i="2"/>
  <c r="F17" i="2"/>
  <c r="E17" i="2"/>
  <c r="F15" i="2"/>
  <c r="E15" i="2"/>
  <c r="H14" i="2"/>
  <c r="J14" i="2" s="1"/>
  <c r="E14" i="2"/>
  <c r="F13" i="2"/>
  <c r="E13" i="2"/>
  <c r="G13" i="2" s="1"/>
  <c r="L13" i="2" s="1"/>
  <c r="M13" i="2" s="1"/>
  <c r="H12" i="2"/>
  <c r="K12" i="2" s="1"/>
  <c r="F11" i="2"/>
  <c r="E11" i="2"/>
  <c r="G11" i="2" s="1"/>
  <c r="L11" i="2" s="1"/>
  <c r="M11" i="2" s="1"/>
  <c r="F9" i="2"/>
  <c r="E9" i="2"/>
  <c r="H8" i="2"/>
  <c r="F7" i="2"/>
  <c r="E7" i="2"/>
  <c r="B18" i="1"/>
  <c r="E18" i="1" s="1"/>
  <c r="J17" i="1"/>
  <c r="F17" i="1"/>
  <c r="E16" i="1"/>
  <c r="B16" i="1"/>
  <c r="J15" i="1"/>
  <c r="F15" i="1"/>
  <c r="B14" i="1"/>
  <c r="E14" i="1" s="1"/>
  <c r="J13" i="1"/>
  <c r="F13" i="1"/>
  <c r="B12" i="1"/>
  <c r="E12" i="1" s="1"/>
  <c r="J11" i="1"/>
  <c r="F11" i="1"/>
  <c r="B10" i="1"/>
  <c r="E10" i="1" s="1"/>
  <c r="J9" i="1"/>
  <c r="F9" i="1"/>
  <c r="B8" i="1"/>
  <c r="E8" i="1" s="1"/>
  <c r="J7" i="1"/>
  <c r="F7" i="1"/>
  <c r="B6" i="1"/>
  <c r="E6" i="1" s="1"/>
  <c r="G15" i="2" l="1"/>
  <c r="G9" i="2"/>
  <c r="G7" i="2"/>
  <c r="L7" i="2" s="1"/>
  <c r="M7" i="2" s="1"/>
  <c r="H7" i="2" s="1"/>
  <c r="I7" i="2" s="1"/>
  <c r="K10" i="2"/>
  <c r="J10" i="2"/>
  <c r="J16" i="2"/>
  <c r="K16" i="2"/>
  <c r="J12" i="2"/>
  <c r="K8" i="2"/>
  <c r="K14" i="2"/>
  <c r="J8" i="2"/>
  <c r="G17" i="2"/>
  <c r="H13" i="2"/>
  <c r="I13" i="2" s="1"/>
  <c r="H11" i="2"/>
  <c r="I11" i="2" s="1"/>
  <c r="J18" i="1"/>
  <c r="K18" i="1" s="1"/>
  <c r="F18" i="1" s="1"/>
  <c r="J14" i="1"/>
  <c r="K14" i="1" s="1"/>
  <c r="F14" i="1" s="1"/>
  <c r="J10" i="1"/>
  <c r="K10" i="1" s="1"/>
  <c r="F10" i="1"/>
  <c r="I10" i="1" s="1"/>
  <c r="J12" i="1"/>
  <c r="K12" i="1" s="1"/>
  <c r="F12" i="1" s="1"/>
  <c r="I12" i="1" s="1"/>
  <c r="J6" i="1"/>
  <c r="K6" i="1" s="1"/>
  <c r="F6" i="1" s="1"/>
  <c r="J8" i="1"/>
  <c r="K8" i="1" s="1"/>
  <c r="F8" i="1" s="1"/>
  <c r="I8" i="1" s="1"/>
  <c r="J16" i="1"/>
  <c r="K16" i="1" s="1"/>
  <c r="F16" i="1" s="1"/>
  <c r="I16" i="1" s="1"/>
  <c r="H6" i="1" l="1"/>
  <c r="I6" i="1"/>
  <c r="H12" i="1"/>
  <c r="I14" i="1"/>
  <c r="H14" i="1"/>
  <c r="H16" i="1"/>
  <c r="I18" i="1"/>
  <c r="H18" i="1"/>
  <c r="H10" i="1"/>
  <c r="H8" i="1"/>
  <c r="L15" i="2"/>
  <c r="M15" i="2" s="1"/>
  <c r="H15" i="2" s="1"/>
  <c r="K15" i="2" s="1"/>
  <c r="L9" i="2"/>
  <c r="M9" i="2" s="1"/>
  <c r="H9" i="2" s="1"/>
  <c r="J9" i="2" s="1"/>
  <c r="L17" i="2"/>
  <c r="M17" i="2" s="1"/>
  <c r="H17" i="2" s="1"/>
  <c r="I17" i="2" s="1"/>
  <c r="K7" i="2"/>
  <c r="J7" i="2"/>
  <c r="K13" i="2"/>
  <c r="J13" i="2"/>
  <c r="J11" i="2"/>
  <c r="K11" i="2"/>
  <c r="G14" i="1"/>
  <c r="G8" i="1"/>
  <c r="G16" i="1"/>
  <c r="G18" i="1"/>
  <c r="G12" i="1"/>
  <c r="G6" i="1"/>
  <c r="G10" i="1"/>
  <c r="I15" i="2" l="1"/>
  <c r="K9" i="2"/>
  <c r="I9" i="2"/>
  <c r="J15" i="2"/>
  <c r="K17" i="2"/>
  <c r="J17" i="2"/>
</calcChain>
</file>

<file path=xl/sharedStrings.xml><?xml version="1.0" encoding="utf-8"?>
<sst xmlns="http://schemas.openxmlformats.org/spreadsheetml/2006/main" count="30" uniqueCount="20">
  <si>
    <t>TOP DIA</t>
  </si>
  <si>
    <t>TOP CIRCULE</t>
  </si>
  <si>
    <t>HIHGT</t>
  </si>
  <si>
    <t>QUANTITY</t>
  </si>
  <si>
    <t>TOTAL SQFT</t>
  </si>
  <si>
    <t>FRP RATE</t>
  </si>
  <si>
    <t>DIE COST</t>
  </si>
  <si>
    <t>D/COST/PCS</t>
  </si>
  <si>
    <t>1.5mm</t>
  </si>
  <si>
    <t>5mm</t>
  </si>
  <si>
    <t>LENGTH</t>
  </si>
  <si>
    <t>WIRTH</t>
  </si>
  <si>
    <t>FOUR SIDE</t>
  </si>
  <si>
    <t>BOTTOM</t>
  </si>
  <si>
    <t>2.5mm</t>
  </si>
  <si>
    <t>3.5mm</t>
  </si>
  <si>
    <t>thikness</t>
  </si>
  <si>
    <t>thickness</t>
  </si>
  <si>
    <t>ROUND PLANTERS RATE</t>
  </si>
  <si>
    <t>SQUARE LANTERS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</si>
</sst>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tabSelected="1" workbookViewId="0">
      <selection activeCell="G22" sqref="G22"/>
    </sheetView>
  </sheetViews>
  <sheetFormatPr defaultRowHeight="15" x14ac:dyDescent="0.25"/>
  <cols>
    <col min="1" max="1" width="10.7109375" customWidth="1"/>
    <col min="2" max="2" width="12.42578125" customWidth="1"/>
    <col min="3" max="3" width="9.28515625" customWidth="1"/>
    <col min="5" max="5" width="15" customWidth="1"/>
    <col min="6" max="6" width="12" customWidth="1"/>
    <col min="7" max="7" width="11.85546875" customWidth="1"/>
    <col min="8" max="8" width="13.5703125" customWidth="1"/>
    <col min="9" max="9" width="13.7109375" customWidth="1"/>
    <col min="10" max="10" width="13.5703125" customWidth="1"/>
    <col min="11" max="11" width="13" customWidth="1"/>
  </cols>
  <sheetData>
    <row r="2" spans="1:11" x14ac:dyDescent="0.25">
      <c r="B2" s="16" t="s">
        <v>18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25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2" t="s">
        <v>5</v>
      </c>
      <c r="G4" s="2" t="s">
        <v>14</v>
      </c>
      <c r="H4" s="2" t="s">
        <v>15</v>
      </c>
      <c r="I4" s="2" t="s">
        <v>9</v>
      </c>
      <c r="J4" s="2" t="s">
        <v>6</v>
      </c>
      <c r="K4" s="2" t="s">
        <v>7</v>
      </c>
    </row>
    <row r="6" spans="1:11" x14ac:dyDescent="0.25">
      <c r="A6" s="3">
        <v>18</v>
      </c>
      <c r="B6">
        <f>22/7*A6</f>
        <v>56.571428571428569</v>
      </c>
      <c r="C6" s="3">
        <v>24</v>
      </c>
      <c r="D6" s="3">
        <v>10</v>
      </c>
      <c r="E6">
        <f>B6*C6/144</f>
        <v>9.4285714285714288</v>
      </c>
      <c r="F6" s="3">
        <f>E6*321+K6</f>
        <v>5044.2857142857138</v>
      </c>
      <c r="G6">
        <f>E6*100+F6</f>
        <v>5987.1428571428569</v>
      </c>
      <c r="H6">
        <f>E6*150+F6</f>
        <v>6458.5714285714275</v>
      </c>
      <c r="I6">
        <f>E6*250+F6</f>
        <v>7401.4285714285706</v>
      </c>
      <c r="J6">
        <f>E6*2140</f>
        <v>20177.142857142859</v>
      </c>
      <c r="K6">
        <f>J6/D6</f>
        <v>2017.7142857142858</v>
      </c>
    </row>
    <row r="7" spans="1:11" x14ac:dyDescent="0.25">
      <c r="F7" s="3">
        <f t="shared" ref="F7:F18" si="0">E7*321+K7</f>
        <v>0</v>
      </c>
      <c r="H7">
        <f t="shared" ref="H7:H18" si="1">E7*150+F7</f>
        <v>0</v>
      </c>
      <c r="I7">
        <f t="shared" ref="I7:I18" si="2">E7*250+F7</f>
        <v>0</v>
      </c>
      <c r="J7">
        <f t="shared" ref="J7:J18" si="3">E7*2140</f>
        <v>0</v>
      </c>
    </row>
    <row r="8" spans="1:11" x14ac:dyDescent="0.25">
      <c r="A8" s="3">
        <v>18</v>
      </c>
      <c r="B8">
        <f t="shared" ref="B8:B16" si="4">22/7*A8</f>
        <v>56.571428571428569</v>
      </c>
      <c r="C8" s="3">
        <v>24</v>
      </c>
      <c r="D8" s="3">
        <v>10</v>
      </c>
      <c r="E8">
        <f t="shared" ref="E8:E16" si="5">B8*C8/144</f>
        <v>9.4285714285714288</v>
      </c>
      <c r="F8" s="3">
        <f t="shared" si="0"/>
        <v>5044.2857142857138</v>
      </c>
      <c r="G8">
        <f t="shared" ref="G8:G16" si="6">E8*100+F8</f>
        <v>5987.1428571428569</v>
      </c>
      <c r="H8">
        <f t="shared" si="1"/>
        <v>6458.5714285714275</v>
      </c>
      <c r="I8">
        <f t="shared" si="2"/>
        <v>7401.4285714285706</v>
      </c>
      <c r="J8">
        <f t="shared" si="3"/>
        <v>20177.142857142859</v>
      </c>
      <c r="K8">
        <f t="shared" ref="K8:K16" si="7">J8/D8</f>
        <v>2017.7142857142858</v>
      </c>
    </row>
    <row r="9" spans="1:11" x14ac:dyDescent="0.25">
      <c r="F9" s="3">
        <f t="shared" si="0"/>
        <v>0</v>
      </c>
      <c r="H9">
        <f t="shared" si="1"/>
        <v>0</v>
      </c>
      <c r="I9">
        <f t="shared" si="2"/>
        <v>0</v>
      </c>
      <c r="J9">
        <f t="shared" si="3"/>
        <v>0</v>
      </c>
    </row>
    <row r="10" spans="1:11" x14ac:dyDescent="0.25">
      <c r="A10" s="3">
        <v>18</v>
      </c>
      <c r="B10">
        <f t="shared" si="4"/>
        <v>56.571428571428569</v>
      </c>
      <c r="C10" s="3">
        <v>24</v>
      </c>
      <c r="D10" s="3">
        <v>10</v>
      </c>
      <c r="E10">
        <f t="shared" si="5"/>
        <v>9.4285714285714288</v>
      </c>
      <c r="F10" s="3">
        <f t="shared" si="0"/>
        <v>5044.2857142857138</v>
      </c>
      <c r="G10">
        <f t="shared" si="6"/>
        <v>5987.1428571428569</v>
      </c>
      <c r="H10">
        <f t="shared" si="1"/>
        <v>6458.5714285714275</v>
      </c>
      <c r="I10">
        <f t="shared" si="2"/>
        <v>7401.4285714285706</v>
      </c>
      <c r="J10">
        <f t="shared" si="3"/>
        <v>20177.142857142859</v>
      </c>
      <c r="K10">
        <f t="shared" si="7"/>
        <v>2017.7142857142858</v>
      </c>
    </row>
    <row r="11" spans="1:11" x14ac:dyDescent="0.25">
      <c r="F11" s="3">
        <f t="shared" si="0"/>
        <v>0</v>
      </c>
      <c r="H11">
        <f t="shared" si="1"/>
        <v>0</v>
      </c>
      <c r="I11">
        <f t="shared" si="2"/>
        <v>0</v>
      </c>
      <c r="J11">
        <f t="shared" si="3"/>
        <v>0</v>
      </c>
    </row>
    <row r="12" spans="1:11" x14ac:dyDescent="0.25">
      <c r="A12" s="3">
        <v>18</v>
      </c>
      <c r="B12">
        <f t="shared" si="4"/>
        <v>56.571428571428569</v>
      </c>
      <c r="C12" s="3">
        <v>24</v>
      </c>
      <c r="D12" s="3">
        <v>10</v>
      </c>
      <c r="E12">
        <f t="shared" si="5"/>
        <v>9.4285714285714288</v>
      </c>
      <c r="F12" s="3">
        <f t="shared" si="0"/>
        <v>5044.2857142857138</v>
      </c>
      <c r="G12">
        <f t="shared" si="6"/>
        <v>5987.1428571428569</v>
      </c>
      <c r="H12">
        <f t="shared" si="1"/>
        <v>6458.5714285714275</v>
      </c>
      <c r="I12">
        <f t="shared" si="2"/>
        <v>7401.4285714285706</v>
      </c>
      <c r="J12">
        <f t="shared" si="3"/>
        <v>20177.142857142859</v>
      </c>
      <c r="K12">
        <f t="shared" si="7"/>
        <v>2017.7142857142858</v>
      </c>
    </row>
    <row r="13" spans="1:11" x14ac:dyDescent="0.25">
      <c r="F13" s="3">
        <f t="shared" si="0"/>
        <v>0</v>
      </c>
      <c r="H13">
        <f t="shared" si="1"/>
        <v>0</v>
      </c>
      <c r="I13">
        <f t="shared" si="2"/>
        <v>0</v>
      </c>
      <c r="J13">
        <f t="shared" si="3"/>
        <v>0</v>
      </c>
    </row>
    <row r="14" spans="1:11" x14ac:dyDescent="0.25">
      <c r="A14" s="3">
        <v>18</v>
      </c>
      <c r="B14">
        <f t="shared" si="4"/>
        <v>56.571428571428569</v>
      </c>
      <c r="C14" s="3">
        <v>24</v>
      </c>
      <c r="D14" s="3">
        <v>10</v>
      </c>
      <c r="E14">
        <f t="shared" si="5"/>
        <v>9.4285714285714288</v>
      </c>
      <c r="F14" s="3">
        <f t="shared" si="0"/>
        <v>5044.2857142857138</v>
      </c>
      <c r="G14">
        <f t="shared" si="6"/>
        <v>5987.1428571428569</v>
      </c>
      <c r="H14">
        <f t="shared" si="1"/>
        <v>6458.5714285714275</v>
      </c>
      <c r="I14">
        <f t="shared" si="2"/>
        <v>7401.4285714285706</v>
      </c>
      <c r="J14">
        <f t="shared" si="3"/>
        <v>20177.142857142859</v>
      </c>
      <c r="K14">
        <f t="shared" si="7"/>
        <v>2017.7142857142858</v>
      </c>
    </row>
    <row r="15" spans="1:11" x14ac:dyDescent="0.25">
      <c r="F15" s="3">
        <f t="shared" si="0"/>
        <v>0</v>
      </c>
      <c r="H15">
        <f t="shared" si="1"/>
        <v>0</v>
      </c>
      <c r="I15">
        <f t="shared" si="2"/>
        <v>0</v>
      </c>
      <c r="J15">
        <f t="shared" si="3"/>
        <v>0</v>
      </c>
    </row>
    <row r="16" spans="1:11" x14ac:dyDescent="0.25">
      <c r="A16" s="3">
        <v>18</v>
      </c>
      <c r="B16">
        <f t="shared" si="4"/>
        <v>56.571428571428569</v>
      </c>
      <c r="C16" s="3">
        <v>24</v>
      </c>
      <c r="D16" s="3">
        <v>10</v>
      </c>
      <c r="E16">
        <f t="shared" si="5"/>
        <v>9.4285714285714288</v>
      </c>
      <c r="F16" s="3">
        <f t="shared" si="0"/>
        <v>5044.2857142857138</v>
      </c>
      <c r="G16">
        <f t="shared" si="6"/>
        <v>5987.1428571428569</v>
      </c>
      <c r="H16">
        <f t="shared" si="1"/>
        <v>6458.5714285714275</v>
      </c>
      <c r="I16">
        <f t="shared" si="2"/>
        <v>7401.4285714285706</v>
      </c>
      <c r="J16">
        <f t="shared" si="3"/>
        <v>20177.142857142859</v>
      </c>
      <c r="K16">
        <f t="shared" si="7"/>
        <v>2017.7142857142858</v>
      </c>
    </row>
    <row r="17" spans="1:11" x14ac:dyDescent="0.25">
      <c r="F17" s="3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</row>
    <row r="18" spans="1:11" x14ac:dyDescent="0.25">
      <c r="A18" s="3">
        <v>18</v>
      </c>
      <c r="B18">
        <f t="shared" ref="B18" si="8">22/7*A18</f>
        <v>56.571428571428569</v>
      </c>
      <c r="C18" s="3">
        <v>24</v>
      </c>
      <c r="D18" s="3">
        <v>10</v>
      </c>
      <c r="E18">
        <f t="shared" ref="E18" si="9">B18*C18/144</f>
        <v>9.4285714285714288</v>
      </c>
      <c r="F18" s="3">
        <f t="shared" si="0"/>
        <v>5044.2857142857138</v>
      </c>
      <c r="G18">
        <f t="shared" ref="G18" si="10">E18*100+F18</f>
        <v>5987.1428571428569</v>
      </c>
      <c r="H18">
        <f t="shared" si="1"/>
        <v>6458.5714285714275</v>
      </c>
      <c r="I18">
        <f t="shared" si="2"/>
        <v>7401.4285714285706</v>
      </c>
      <c r="J18">
        <f t="shared" si="3"/>
        <v>20177.142857142859</v>
      </c>
      <c r="K18">
        <f t="shared" ref="K18" si="11">J18/D18</f>
        <v>2017.7142857142858</v>
      </c>
    </row>
  </sheetData>
  <mergeCells count="1">
    <mergeCell ref="B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L25" sqref="L25"/>
    </sheetView>
  </sheetViews>
  <sheetFormatPr defaultRowHeight="15" x14ac:dyDescent="0.25"/>
  <cols>
    <col min="6" max="6" width="10.140625" customWidth="1"/>
    <col min="7" max="7" width="10.85546875" style="13" customWidth="1"/>
    <col min="8" max="8" width="10.7109375" customWidth="1"/>
    <col min="9" max="9" width="11.7109375" customWidth="1"/>
    <col min="10" max="10" width="11.42578125" customWidth="1"/>
    <col min="11" max="11" width="13.140625" customWidth="1"/>
    <col min="13" max="13" width="11.7109375" customWidth="1"/>
  </cols>
  <sheetData>
    <row r="2" spans="1:14" x14ac:dyDescent="0.25">
      <c r="B2" s="17" t="s">
        <v>19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4" x14ac:dyDescent="0.25">
      <c r="H4" s="3" t="s">
        <v>8</v>
      </c>
      <c r="I4" s="3" t="s">
        <v>14</v>
      </c>
      <c r="J4" s="3" t="s">
        <v>15</v>
      </c>
      <c r="K4" s="3" t="s">
        <v>9</v>
      </c>
    </row>
    <row r="5" spans="1:14" x14ac:dyDescent="0.25">
      <c r="A5" s="1" t="s">
        <v>10</v>
      </c>
      <c r="B5" s="1" t="s">
        <v>11</v>
      </c>
      <c r="C5" s="1" t="s">
        <v>2</v>
      </c>
      <c r="D5" s="1" t="s">
        <v>3</v>
      </c>
      <c r="E5" s="1" t="s">
        <v>12</v>
      </c>
      <c r="F5" s="1" t="s">
        <v>13</v>
      </c>
      <c r="G5" s="14" t="s">
        <v>4</v>
      </c>
      <c r="H5" s="1" t="s">
        <v>5</v>
      </c>
      <c r="I5" s="1" t="s">
        <v>16</v>
      </c>
      <c r="J5" s="1" t="s">
        <v>17</v>
      </c>
      <c r="K5" s="1" t="s">
        <v>17</v>
      </c>
      <c r="L5" s="1" t="s">
        <v>6</v>
      </c>
      <c r="M5" s="1" t="s">
        <v>7</v>
      </c>
      <c r="N5" s="1"/>
    </row>
    <row r="7" spans="1:14" x14ac:dyDescent="0.25">
      <c r="A7" s="4">
        <v>12</v>
      </c>
      <c r="B7" s="4">
        <v>12</v>
      </c>
      <c r="C7" s="4">
        <v>12</v>
      </c>
      <c r="D7" s="5">
        <v>10</v>
      </c>
      <c r="E7" s="6">
        <f>(A7+B7+A7+B7)*C7/144</f>
        <v>4</v>
      </c>
      <c r="F7" s="7">
        <f>A7*B7/144</f>
        <v>1</v>
      </c>
      <c r="G7" s="15">
        <f>E7+F7</f>
        <v>5</v>
      </c>
      <c r="H7" s="4">
        <f>G7*321+M7</f>
        <v>2140</v>
      </c>
      <c r="I7" s="4">
        <f>G7*100+H7</f>
        <v>2640</v>
      </c>
      <c r="J7" s="4">
        <f>G7*150+H7</f>
        <v>2890</v>
      </c>
      <c r="K7" s="4">
        <f>G7*250+H7</f>
        <v>3390</v>
      </c>
      <c r="L7" s="8">
        <f>G7*1070</f>
        <v>5350</v>
      </c>
      <c r="M7" s="9">
        <f>L7/D7</f>
        <v>535</v>
      </c>
      <c r="N7" s="9"/>
    </row>
    <row r="8" spans="1:14" x14ac:dyDescent="0.25">
      <c r="H8" s="4">
        <f t="shared" ref="H8:H17" si="0">G8*321+M8</f>
        <v>0</v>
      </c>
      <c r="I8" s="4">
        <f t="shared" ref="I8:I17" si="1">G8*100+H8</f>
        <v>0</v>
      </c>
      <c r="J8" s="4">
        <f t="shared" ref="J8:J17" si="2">G8*150+H8</f>
        <v>0</v>
      </c>
      <c r="K8" s="4">
        <f t="shared" ref="K8:K17" si="3">G8*250+H8</f>
        <v>0</v>
      </c>
      <c r="L8" s="8">
        <f t="shared" ref="L8:L17" si="4">G8*1070</f>
        <v>0</v>
      </c>
      <c r="M8" s="9"/>
    </row>
    <row r="9" spans="1:14" x14ac:dyDescent="0.25">
      <c r="A9" s="6">
        <v>12</v>
      </c>
      <c r="B9" s="6">
        <v>12</v>
      </c>
      <c r="C9" s="6">
        <v>12</v>
      </c>
      <c r="D9" s="5">
        <v>10</v>
      </c>
      <c r="E9" s="6">
        <f>(A9+B9+A9+B9)*C9/144</f>
        <v>4</v>
      </c>
      <c r="F9" s="7">
        <f>A9*B9/144</f>
        <v>1</v>
      </c>
      <c r="G9" s="15">
        <f>E9+F9</f>
        <v>5</v>
      </c>
      <c r="H9" s="4">
        <f t="shared" si="0"/>
        <v>2140</v>
      </c>
      <c r="I9" s="4">
        <f t="shared" si="1"/>
        <v>2640</v>
      </c>
      <c r="J9" s="4">
        <f t="shared" si="2"/>
        <v>2890</v>
      </c>
      <c r="K9" s="4">
        <f t="shared" si="3"/>
        <v>3390</v>
      </c>
      <c r="L9" s="8">
        <f t="shared" si="4"/>
        <v>5350</v>
      </c>
      <c r="M9" s="9">
        <f t="shared" ref="M9:M17" si="5">L9/D9</f>
        <v>535</v>
      </c>
      <c r="N9" s="9"/>
    </row>
    <row r="10" spans="1:14" x14ac:dyDescent="0.25">
      <c r="H10" s="4">
        <f t="shared" si="0"/>
        <v>0</v>
      </c>
      <c r="I10" s="4">
        <f t="shared" si="1"/>
        <v>0</v>
      </c>
      <c r="J10" s="4">
        <f t="shared" si="2"/>
        <v>0</v>
      </c>
      <c r="K10" s="4">
        <f t="shared" si="3"/>
        <v>0</v>
      </c>
      <c r="L10" s="8">
        <f t="shared" si="4"/>
        <v>0</v>
      </c>
      <c r="M10" s="9"/>
    </row>
    <row r="11" spans="1:14" x14ac:dyDescent="0.25">
      <c r="A11" s="10">
        <v>12</v>
      </c>
      <c r="B11" s="10">
        <v>12</v>
      </c>
      <c r="C11" s="10">
        <v>12</v>
      </c>
      <c r="D11" s="5">
        <v>10</v>
      </c>
      <c r="E11" s="6">
        <f>(A11+B11+A11+B11)*C11/144</f>
        <v>4</v>
      </c>
      <c r="F11" s="7">
        <f>A11*B11/144</f>
        <v>1</v>
      </c>
      <c r="G11" s="15">
        <f>E11+F11</f>
        <v>5</v>
      </c>
      <c r="H11" s="4">
        <f t="shared" si="0"/>
        <v>2140</v>
      </c>
      <c r="I11" s="4">
        <f t="shared" si="1"/>
        <v>2640</v>
      </c>
      <c r="J11" s="4">
        <f t="shared" si="2"/>
        <v>2890</v>
      </c>
      <c r="K11" s="4">
        <f t="shared" si="3"/>
        <v>3390</v>
      </c>
      <c r="L11" s="8">
        <f t="shared" si="4"/>
        <v>5350</v>
      </c>
      <c r="M11" s="9">
        <f t="shared" si="5"/>
        <v>535</v>
      </c>
      <c r="N11" s="9"/>
    </row>
    <row r="12" spans="1:14" x14ac:dyDescent="0.25">
      <c r="H12" s="4">
        <f t="shared" si="0"/>
        <v>0</v>
      </c>
      <c r="I12" s="4">
        <f t="shared" si="1"/>
        <v>0</v>
      </c>
      <c r="J12" s="4">
        <f t="shared" si="2"/>
        <v>0</v>
      </c>
      <c r="K12" s="4">
        <f t="shared" si="3"/>
        <v>0</v>
      </c>
      <c r="L12" s="8">
        <f t="shared" si="4"/>
        <v>0</v>
      </c>
      <c r="M12" s="9"/>
    </row>
    <row r="13" spans="1:14" x14ac:dyDescent="0.25">
      <c r="A13" s="11">
        <v>12</v>
      </c>
      <c r="B13" s="11">
        <v>12</v>
      </c>
      <c r="C13" s="11">
        <v>12</v>
      </c>
      <c r="D13" s="5">
        <v>10</v>
      </c>
      <c r="E13" s="6">
        <f>(A13+B13+A13+B13)*C13/144</f>
        <v>4</v>
      </c>
      <c r="F13" s="7">
        <f>A13*B13/144</f>
        <v>1</v>
      </c>
      <c r="G13" s="15">
        <f>E13+F13</f>
        <v>5</v>
      </c>
      <c r="H13" s="4">
        <f t="shared" si="0"/>
        <v>2140</v>
      </c>
      <c r="I13" s="4">
        <f t="shared" si="1"/>
        <v>2640</v>
      </c>
      <c r="J13" s="4">
        <f t="shared" si="2"/>
        <v>2890</v>
      </c>
      <c r="K13" s="4">
        <f t="shared" si="3"/>
        <v>3390</v>
      </c>
      <c r="L13" s="8">
        <f t="shared" si="4"/>
        <v>5350</v>
      </c>
      <c r="M13" s="9">
        <f t="shared" si="5"/>
        <v>535</v>
      </c>
      <c r="N13" s="9"/>
    </row>
    <row r="14" spans="1:14" x14ac:dyDescent="0.25">
      <c r="E14" s="6">
        <f t="shared" ref="E14:E17" si="6">(A14+B14+A14+B14)*C14/144</f>
        <v>0</v>
      </c>
      <c r="H14" s="4">
        <f t="shared" si="0"/>
        <v>0</v>
      </c>
      <c r="I14" s="4">
        <f t="shared" si="1"/>
        <v>0</v>
      </c>
      <c r="J14" s="4">
        <f t="shared" si="2"/>
        <v>0</v>
      </c>
      <c r="K14" s="4">
        <f t="shared" si="3"/>
        <v>0</v>
      </c>
      <c r="L14" s="8">
        <f t="shared" si="4"/>
        <v>0</v>
      </c>
      <c r="M14" s="9"/>
    </row>
    <row r="15" spans="1:14" x14ac:dyDescent="0.25">
      <c r="A15" s="12">
        <v>12</v>
      </c>
      <c r="B15" s="12">
        <v>12</v>
      </c>
      <c r="C15" s="12">
        <v>12</v>
      </c>
      <c r="D15" s="5">
        <v>10</v>
      </c>
      <c r="E15" s="6">
        <f t="shared" si="6"/>
        <v>4</v>
      </c>
      <c r="F15" s="7">
        <f>A15*B15/144</f>
        <v>1</v>
      </c>
      <c r="G15" s="15">
        <f>E15+F15</f>
        <v>5</v>
      </c>
      <c r="H15" s="4">
        <f t="shared" si="0"/>
        <v>2140</v>
      </c>
      <c r="I15" s="4">
        <f t="shared" si="1"/>
        <v>2640</v>
      </c>
      <c r="J15" s="4">
        <f t="shared" si="2"/>
        <v>2890</v>
      </c>
      <c r="K15" s="4">
        <f t="shared" si="3"/>
        <v>3390</v>
      </c>
      <c r="L15" s="8">
        <f t="shared" si="4"/>
        <v>5350</v>
      </c>
      <c r="M15" s="9">
        <f t="shared" si="5"/>
        <v>535</v>
      </c>
      <c r="N15" s="9"/>
    </row>
    <row r="16" spans="1:14" x14ac:dyDescent="0.25">
      <c r="E16" s="6"/>
      <c r="F16" s="7"/>
      <c r="G16" s="15"/>
      <c r="H16" s="4">
        <f t="shared" si="0"/>
        <v>0</v>
      </c>
      <c r="I16" s="4">
        <f t="shared" si="1"/>
        <v>0</v>
      </c>
      <c r="J16" s="4">
        <f t="shared" si="2"/>
        <v>0</v>
      </c>
      <c r="K16" s="4">
        <f t="shared" si="3"/>
        <v>0</v>
      </c>
      <c r="L16" s="8">
        <f t="shared" si="4"/>
        <v>0</v>
      </c>
      <c r="M16" s="9"/>
    </row>
    <row r="17" spans="1:14" x14ac:dyDescent="0.25">
      <c r="A17" s="12">
        <v>12</v>
      </c>
      <c r="B17" s="12">
        <v>12</v>
      </c>
      <c r="C17" s="12">
        <v>12</v>
      </c>
      <c r="D17" s="5">
        <v>10</v>
      </c>
      <c r="E17" s="6">
        <f t="shared" si="6"/>
        <v>4</v>
      </c>
      <c r="F17" s="7">
        <f t="shared" ref="F17" si="7">A17*B17/144</f>
        <v>1</v>
      </c>
      <c r="G17" s="15">
        <f t="shared" ref="G17" si="8">E17+F17</f>
        <v>5</v>
      </c>
      <c r="H17" s="4">
        <f t="shared" si="0"/>
        <v>2140</v>
      </c>
      <c r="I17" s="4">
        <f t="shared" si="1"/>
        <v>2640</v>
      </c>
      <c r="J17" s="4">
        <f t="shared" si="2"/>
        <v>2890</v>
      </c>
      <c r="K17" s="4">
        <f t="shared" si="3"/>
        <v>3390</v>
      </c>
      <c r="L17" s="8">
        <f t="shared" si="4"/>
        <v>5350</v>
      </c>
      <c r="M17" s="9">
        <f t="shared" si="5"/>
        <v>535</v>
      </c>
      <c r="N17" s="9"/>
    </row>
  </sheetData>
  <mergeCells count="1">
    <mergeCell ref="B2:L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2026-02-24T05:25:46Z</dcterms:modified>
</cp:coreProperties>
</file>